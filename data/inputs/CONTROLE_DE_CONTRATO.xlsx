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 do Contrato" sheetId="1" state="visible" r:id="rId1"/>
    <sheet name="Baixas (Lançamentos)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38" customWidth="1" min="4" max="4"/>
    <col width="10" customWidth="1" min="5" max="5"/>
    <col width="14" customWidth="1" min="6" max="6"/>
    <col width="22" customWidth="1" min="7" max="7"/>
    <col width="14" customWidth="1" min="8" max="8"/>
    <col width="12" customWidth="1" min="9" max="9"/>
    <col width="24" customWidth="1" min="10" max="10"/>
    <col width="20" customWidth="1" min="11" max="11"/>
    <col width="22" customWidth="1" min="12" max="12"/>
    <col width="16" customWidth="1" min="13" max="13"/>
  </cols>
  <sheetData>
    <row r="1">
      <c r="A1" s="1" t="inlineStr">
        <is>
          <t>Grupo</t>
        </is>
      </c>
      <c r="B1" s="1" t="inlineStr">
        <is>
          <t>Nº Item</t>
        </is>
      </c>
      <c r="C1" s="1" t="inlineStr">
        <is>
          <t>Código de Barras</t>
        </is>
      </c>
      <c r="D1" s="1" t="inlineStr">
        <is>
          <t>Descrição</t>
        </is>
      </c>
      <c r="E1" s="1" t="inlineStr">
        <is>
          <t>Unidade</t>
        </is>
      </c>
      <c r="F1" s="1" t="inlineStr">
        <is>
          <t>Qtd. Contratada</t>
        </is>
      </c>
      <c r="G1" s="1" t="inlineStr">
        <is>
          <t>Valor Total Contratado (R$)</t>
        </is>
      </c>
      <c r="H1" s="1" t="inlineStr">
        <is>
          <t>Preço Unit. (R$)</t>
        </is>
      </c>
      <c r="I1" s="1" t="inlineStr">
        <is>
          <t>Saldo Base</t>
        </is>
      </c>
      <c r="J1" s="1" t="inlineStr">
        <is>
          <t>Qtd. Baixada (Novas Licitações)</t>
        </is>
      </c>
      <c r="K1" s="1" t="inlineStr">
        <is>
          <t>Saldo Disponível (Atual)</t>
        </is>
      </c>
      <c r="L1" s="1" t="inlineStr">
        <is>
          <t>Valor Saldo Disponível (R$)</t>
        </is>
      </c>
      <c r="M1" s="1" t="inlineStr">
        <is>
          <t>% Executado (total)</t>
        </is>
      </c>
    </row>
    <row r="2">
      <c r="A2" s="2" t="inlineStr">
        <is>
          <t>01 - Peças</t>
        </is>
      </c>
      <c r="B2" s="2" t="n">
        <v>1</v>
      </c>
      <c r="C2" s="3" t="inlineStr">
        <is>
          <t>900001</t>
        </is>
      </c>
      <c r="D2" s="2" t="inlineStr">
        <is>
          <t>PARAFUSO SEXTAVADO M8 X 40</t>
        </is>
      </c>
      <c r="E2" s="2" t="inlineStr">
        <is>
          <t>UNIDADE</t>
        </is>
      </c>
      <c r="F2" s="3" t="n">
        <v>100</v>
      </c>
      <c r="G2" s="2">
        <f>F2*H2</f>
        <v/>
      </c>
      <c r="H2" s="4" t="n">
        <v>1.85</v>
      </c>
      <c r="I2" s="3" t="n">
        <v>100</v>
      </c>
      <c r="J2" s="3">
        <f>SUMIFS('Baixas (Lançamentos)'!$F$2:$F$500,'Baixas (Lançamentos)'!$A$2:$A$500,C2)</f>
        <v/>
      </c>
      <c r="K2" s="3">
        <f>I2-J2</f>
        <v/>
      </c>
      <c r="L2" s="4">
        <f>K2*H2</f>
        <v/>
      </c>
      <c r="M2" s="5">
        <f>IFERROR((F2-K2)/F2,0)</f>
        <v/>
      </c>
    </row>
    <row r="3">
      <c r="A3" s="2" t="inlineStr">
        <is>
          <t>01 - Peças</t>
        </is>
      </c>
      <c r="B3" s="2" t="n">
        <v>2</v>
      </c>
      <c r="C3" s="3" t="inlineStr">
        <is>
          <t>900002</t>
        </is>
      </c>
      <c r="D3" s="2" t="inlineStr">
        <is>
          <t>PORCA SEXTAVADA M8</t>
        </is>
      </c>
      <c r="E3" s="2" t="inlineStr">
        <is>
          <t>UNIDADE</t>
        </is>
      </c>
      <c r="F3" s="3" t="n">
        <v>100</v>
      </c>
      <c r="G3" s="2">
        <f>F3*H3</f>
        <v/>
      </c>
      <c r="H3" s="4" t="n">
        <v>0.92</v>
      </c>
      <c r="I3" s="3" t="n">
        <v>100</v>
      </c>
      <c r="J3" s="3">
        <f>SUMIFS('Baixas (Lançamentos)'!$F$2:$F$500,'Baixas (Lançamentos)'!$A$2:$A$500,C3)</f>
        <v/>
      </c>
      <c r="K3" s="3">
        <f>I3-J3</f>
        <v/>
      </c>
      <c r="L3" s="4">
        <f>K3*H3</f>
        <v/>
      </c>
      <c r="M3" s="5">
        <f>IFERROR((F3-K3)/F3,0)</f>
        <v/>
      </c>
    </row>
    <row r="4">
      <c r="A4" s="2" t="inlineStr">
        <is>
          <t>01 - Peças</t>
        </is>
      </c>
      <c r="B4" s="2" t="n">
        <v>3</v>
      </c>
      <c r="C4" s="3" t="inlineStr">
        <is>
          <t>900003</t>
        </is>
      </c>
      <c r="D4" s="2" t="inlineStr">
        <is>
          <t>ARRUELA LISA M8</t>
        </is>
      </c>
      <c r="E4" s="2" t="inlineStr">
        <is>
          <t>UNIDADE</t>
        </is>
      </c>
      <c r="F4" s="3" t="n">
        <v>200</v>
      </c>
      <c r="G4" s="2">
        <f>F4*H4</f>
        <v/>
      </c>
      <c r="H4" s="4" t="n">
        <v>0.4</v>
      </c>
      <c r="I4" s="3" t="n">
        <v>200</v>
      </c>
      <c r="J4" s="3">
        <f>SUMIFS('Baixas (Lançamentos)'!$F$2:$F$500,'Baixas (Lançamentos)'!$A$2:$A$500,C4)</f>
        <v/>
      </c>
      <c r="K4" s="3">
        <f>I4-J4</f>
        <v/>
      </c>
      <c r="L4" s="4">
        <f>K4*H4</f>
        <v/>
      </c>
      <c r="M4" s="5">
        <f>IFERROR((F4-K4)/F4,0)</f>
        <v/>
      </c>
    </row>
    <row r="5">
      <c r="A5" s="2" t="inlineStr">
        <is>
          <t>02 - Ferramentas</t>
        </is>
      </c>
      <c r="B5" s="2" t="n">
        <v>4</v>
      </c>
      <c r="C5" s="3" t="inlineStr">
        <is>
          <t>900004</t>
        </is>
      </c>
      <c r="D5" s="2" t="inlineStr">
        <is>
          <t>CHAVE DE BOCA 15 MM</t>
        </is>
      </c>
      <c r="E5" s="2" t="inlineStr">
        <is>
          <t>UNIDADE</t>
        </is>
      </c>
      <c r="F5" s="3" t="n">
        <v>50</v>
      </c>
      <c r="G5" s="2">
        <f>F5*H5</f>
        <v/>
      </c>
      <c r="H5" s="4" t="n">
        <v>12.3</v>
      </c>
      <c r="I5" s="3" t="n">
        <v>50</v>
      </c>
      <c r="J5" s="3">
        <f>SUMIFS('Baixas (Lançamentos)'!$F$2:$F$500,'Baixas (Lançamentos)'!$A$2:$A$500,C5)</f>
        <v/>
      </c>
      <c r="K5" s="3">
        <f>I5-J5</f>
        <v/>
      </c>
      <c r="L5" s="4">
        <f>K5*H5</f>
        <v/>
      </c>
      <c r="M5" s="5">
        <f>IFERROR((F5-K5)/F5,0)</f>
        <v/>
      </c>
    </row>
    <row r="6">
      <c r="A6" s="2" t="inlineStr">
        <is>
          <t>02 - Ferramentas</t>
        </is>
      </c>
      <c r="B6" s="2" t="n">
        <v>5</v>
      </c>
      <c r="C6" s="3" t="inlineStr">
        <is>
          <t>900005</t>
        </is>
      </c>
      <c r="D6" s="2" t="inlineStr">
        <is>
          <t>MARTELO DE BORRACHA 500 G</t>
        </is>
      </c>
      <c r="E6" s="2" t="inlineStr">
        <is>
          <t>UNIDADE</t>
        </is>
      </c>
      <c r="F6" s="3" t="n">
        <v>30</v>
      </c>
      <c r="G6" s="2">
        <f>F6*H6</f>
        <v/>
      </c>
      <c r="H6" s="4" t="n">
        <v>9.75</v>
      </c>
      <c r="I6" s="3" t="n">
        <v>30</v>
      </c>
      <c r="J6" s="3">
        <f>SUMIFS('Baixas (Lançamentos)'!$F$2:$F$500,'Baixas (Lançamentos)'!$A$2:$A$500,C6)</f>
        <v/>
      </c>
      <c r="K6" s="3">
        <f>I6-J6</f>
        <v/>
      </c>
      <c r="L6" s="4">
        <f>K6*H6</f>
        <v/>
      </c>
      <c r="M6" s="5">
        <f>IFERROR((F6-K6)/F6,0)</f>
        <v/>
      </c>
    </row>
    <row r="7">
      <c r="A7" s="2" t="inlineStr">
        <is>
          <t>03 - Lubrificantes</t>
        </is>
      </c>
      <c r="B7" s="2" t="n">
        <v>6</v>
      </c>
      <c r="C7" s="3" t="inlineStr">
        <is>
          <t>900006</t>
        </is>
      </c>
      <c r="D7" s="2" t="inlineStr">
        <is>
          <t>ÓLEO LUBRIFICANTE 20W50 (L)</t>
        </is>
      </c>
      <c r="E7" s="2" t="inlineStr">
        <is>
          <t>LITRO</t>
        </is>
      </c>
      <c r="F7" s="3" t="n">
        <v>60</v>
      </c>
      <c r="G7" s="2">
        <f>F7*H7</f>
        <v/>
      </c>
      <c r="H7" s="4" t="n">
        <v>18.4</v>
      </c>
      <c r="I7" s="3" t="n">
        <v>60</v>
      </c>
      <c r="J7" s="3">
        <f>SUMIFS('Baixas (Lançamentos)'!$F$2:$F$500,'Baixas (Lançamentos)'!$A$2:$A$500,C7)</f>
        <v/>
      </c>
      <c r="K7" s="3">
        <f>I7-J7</f>
        <v/>
      </c>
      <c r="L7" s="4">
        <f>K7*H7</f>
        <v/>
      </c>
      <c r="M7" s="5">
        <f>IFERROR((F7-K7)/F7,0)</f>
        <v/>
      </c>
    </row>
    <row r="8">
      <c r="A8" s="2" t="inlineStr">
        <is>
          <t>03 - Lubrificantes</t>
        </is>
      </c>
      <c r="B8" s="2" t="n">
        <v>7</v>
      </c>
      <c r="C8" s="3" t="inlineStr">
        <is>
          <t>900007</t>
        </is>
      </c>
      <c r="D8" s="2" t="inlineStr">
        <is>
          <t>GRAXA AUTOMOTIVA (LATÃO 1 KG)</t>
        </is>
      </c>
      <c r="E8" s="2" t="inlineStr">
        <is>
          <t>KG</t>
        </is>
      </c>
      <c r="F8" s="3" t="n">
        <v>40</v>
      </c>
      <c r="G8" s="2">
        <f>F8*H8</f>
        <v/>
      </c>
      <c r="H8" s="4" t="n">
        <v>22.1</v>
      </c>
      <c r="I8" s="3" t="n">
        <v>40</v>
      </c>
      <c r="J8" s="3">
        <f>SUMIFS('Baixas (Lançamentos)'!$F$2:$F$500,'Baixas (Lançamentos)'!$A$2:$A$500,C8)</f>
        <v/>
      </c>
      <c r="K8" s="3">
        <f>I8-J8</f>
        <v/>
      </c>
      <c r="L8" s="4">
        <f>K8*H8</f>
        <v/>
      </c>
      <c r="M8" s="5">
        <f>IFERROR((F8-K8)/F8,0)</f>
        <v/>
      </c>
    </row>
    <row r="9">
      <c r="A9" s="2" t="inlineStr">
        <is>
          <t>04 - Elétrica</t>
        </is>
      </c>
      <c r="B9" s="2" t="n">
        <v>8</v>
      </c>
      <c r="C9" s="3" t="inlineStr">
        <is>
          <t>900008</t>
        </is>
      </c>
      <c r="D9" s="2" t="inlineStr">
        <is>
          <t>LÂMPADA LED 12V 10W</t>
        </is>
      </c>
      <c r="E9" s="2" t="inlineStr">
        <is>
          <t>UNIDADE</t>
        </is>
      </c>
      <c r="F9" s="3" t="n">
        <v>120</v>
      </c>
      <c r="G9" s="2">
        <f>F9*H9</f>
        <v/>
      </c>
      <c r="H9" s="4" t="n">
        <v>6.5</v>
      </c>
      <c r="I9" s="3" t="n">
        <v>120</v>
      </c>
      <c r="J9" s="3">
        <f>SUMIFS('Baixas (Lançamentos)'!$F$2:$F$500,'Baixas (Lançamentos)'!$A$2:$A$500,C9)</f>
        <v/>
      </c>
      <c r="K9" s="3">
        <f>I9-J9</f>
        <v/>
      </c>
      <c r="L9" s="4">
        <f>K9*H9</f>
        <v/>
      </c>
      <c r="M9" s="5">
        <f>IFERROR((F9-K9)/F9,0)</f>
        <v/>
      </c>
    </row>
    <row r="10">
      <c r="A10" s="2" t="inlineStr">
        <is>
          <t>04 - Elétrica</t>
        </is>
      </c>
      <c r="B10" s="2" t="n">
        <v>9</v>
      </c>
      <c r="C10" s="3" t="inlineStr">
        <is>
          <t>900009</t>
        </is>
      </c>
      <c r="D10" s="2" t="inlineStr">
        <is>
          <t>FUSÍVEL 20A AUTOMOTIVO</t>
        </is>
      </c>
      <c r="E10" s="2" t="inlineStr">
        <is>
          <t>UNIDADE</t>
        </is>
      </c>
      <c r="F10" s="3" t="n">
        <v>80</v>
      </c>
      <c r="G10" s="2">
        <f>F10*H10</f>
        <v/>
      </c>
      <c r="H10" s="4" t="n">
        <v>1.25</v>
      </c>
      <c r="I10" s="3" t="n">
        <v>80</v>
      </c>
      <c r="J10" s="3">
        <f>SUMIFS('Baixas (Lançamentos)'!$F$2:$F$500,'Baixas (Lançamentos)'!$A$2:$A$500,C10)</f>
        <v/>
      </c>
      <c r="K10" s="3">
        <f>I10-J10</f>
        <v/>
      </c>
      <c r="L10" s="4">
        <f>K10*H10</f>
        <v/>
      </c>
      <c r="M10" s="5">
        <f>IFERROR((F10-K10)/F10,0)</f>
        <v/>
      </c>
    </row>
    <row r="11">
      <c r="A11" s="2" t="inlineStr">
        <is>
          <t>05 - Hidráulica</t>
        </is>
      </c>
      <c r="B11" s="2" t="n">
        <v>10</v>
      </c>
      <c r="C11" s="3" t="inlineStr">
        <is>
          <t>900010</t>
        </is>
      </c>
      <c r="D11" s="2" t="inlineStr">
        <is>
          <t>MANGUEIRA DE ÁGUA 3/4</t>
        </is>
      </c>
      <c r="E11" s="2" t="inlineStr">
        <is>
          <t>METRO</t>
        </is>
      </c>
      <c r="F11" s="3" t="n">
        <v>90</v>
      </c>
      <c r="G11" s="2">
        <f>F11*H11</f>
        <v/>
      </c>
      <c r="H11" s="4" t="n">
        <v>7.8</v>
      </c>
      <c r="I11" s="3" t="n">
        <v>90</v>
      </c>
      <c r="J11" s="3">
        <f>SUMIFS('Baixas (Lançamentos)'!$F$2:$F$500,'Baixas (Lançamentos)'!$A$2:$A$500,C11)</f>
        <v/>
      </c>
      <c r="K11" s="3">
        <f>I11-J11</f>
        <v/>
      </c>
      <c r="L11" s="4">
        <f>K11*H11</f>
        <v/>
      </c>
      <c r="M11" s="5">
        <f>IFERROR((F11-K11)/F11,0)</f>
        <v/>
      </c>
    </row>
    <row r="12">
      <c r="A12" s="2" t="inlineStr">
        <is>
          <t>05 - Hidráulica</t>
        </is>
      </c>
      <c r="B12" s="2" t="n">
        <v>11</v>
      </c>
      <c r="C12" s="3" t="inlineStr">
        <is>
          <t>900011</t>
        </is>
      </c>
      <c r="D12" s="2" t="inlineStr">
        <is>
          <t>CONEXÃO PVC 3/4</t>
        </is>
      </c>
      <c r="E12" s="2" t="inlineStr">
        <is>
          <t>UNIDADE</t>
        </is>
      </c>
      <c r="F12" s="3" t="n">
        <v>150</v>
      </c>
      <c r="G12" s="2">
        <f>F12*H12</f>
        <v/>
      </c>
      <c r="H12" s="4" t="n">
        <v>3.2</v>
      </c>
      <c r="I12" s="3" t="n">
        <v>150</v>
      </c>
      <c r="J12" s="3">
        <f>SUMIFS('Baixas (Lançamentos)'!$F$2:$F$500,'Baixas (Lançamentos)'!$A$2:$A$500,C12)</f>
        <v/>
      </c>
      <c r="K12" s="3">
        <f>I12-J12</f>
        <v/>
      </c>
      <c r="L12" s="4">
        <f>K12*H12</f>
        <v/>
      </c>
      <c r="M12" s="5">
        <f>IFERROR((F12-K12)/F12,0)</f>
        <v/>
      </c>
    </row>
    <row r="13">
      <c r="A13" s="2" t="inlineStr">
        <is>
          <t>06 - EPI</t>
        </is>
      </c>
      <c r="B13" s="2" t="n">
        <v>12</v>
      </c>
      <c r="C13" s="3" t="inlineStr">
        <is>
          <t>900012</t>
        </is>
      </c>
      <c r="D13" s="2" t="inlineStr">
        <is>
          <t>LUVA DE PROTEÇÃO NITRÍLICA</t>
        </is>
      </c>
      <c r="E13" s="2" t="inlineStr">
        <is>
          <t>PAR</t>
        </is>
      </c>
      <c r="F13" s="3" t="n">
        <v>200</v>
      </c>
      <c r="G13" s="2">
        <f>F13*H13</f>
        <v/>
      </c>
      <c r="H13" s="4" t="n">
        <v>4.6</v>
      </c>
      <c r="I13" s="3" t="n">
        <v>200</v>
      </c>
      <c r="J13" s="3">
        <f>SUMIFS('Baixas (Lançamentos)'!$F$2:$F$500,'Baixas (Lançamentos)'!$A$2:$A$500,C13)</f>
        <v/>
      </c>
      <c r="K13" s="3">
        <f>I13-J13</f>
        <v/>
      </c>
      <c r="L13" s="4">
        <f>K13*H13</f>
        <v/>
      </c>
      <c r="M13" s="5">
        <f>IFERROR((F13-K13)/F13,0)</f>
        <v/>
      </c>
    </row>
    <row r="14">
      <c r="A14" s="2" t="inlineStr">
        <is>
          <t>06 - EPI</t>
        </is>
      </c>
      <c r="B14" s="2" t="n">
        <v>13</v>
      </c>
      <c r="C14" s="3" t="inlineStr">
        <is>
          <t>900013</t>
        </is>
      </c>
      <c r="D14" s="2" t="inlineStr">
        <is>
          <t>ÓCULOS DE PROTEÇÃO</t>
        </is>
      </c>
      <c r="E14" s="2" t="inlineStr">
        <is>
          <t>UNIDADE</t>
        </is>
      </c>
      <c r="F14" s="3" t="n">
        <v>60</v>
      </c>
      <c r="G14" s="2">
        <f>F14*H14</f>
        <v/>
      </c>
      <c r="H14" s="4" t="n">
        <v>8.9</v>
      </c>
      <c r="I14" s="3" t="n">
        <v>60</v>
      </c>
      <c r="J14" s="3">
        <f>SUMIFS('Baixas (Lançamentos)'!$F$2:$F$500,'Baixas (Lançamentos)'!$A$2:$A$500,C14)</f>
        <v/>
      </c>
      <c r="K14" s="3">
        <f>I14-J14</f>
        <v/>
      </c>
      <c r="L14" s="4">
        <f>K14*H14</f>
        <v/>
      </c>
      <c r="M14" s="5">
        <f>IFERROR((F14-K14)/F14,0)</f>
        <v/>
      </c>
    </row>
    <row r="15">
      <c r="A15" s="2" t="inlineStr">
        <is>
          <t>07 - Pintura</t>
        </is>
      </c>
      <c r="B15" s="2" t="n">
        <v>14</v>
      </c>
      <c r="C15" s="3" t="inlineStr">
        <is>
          <t>900014</t>
        </is>
      </c>
      <c r="D15" s="2" t="inlineStr">
        <is>
          <t>TINTA ESMALTE BRANCA (L)</t>
        </is>
      </c>
      <c r="E15" s="2" t="inlineStr">
        <is>
          <t>LITRO</t>
        </is>
      </c>
      <c r="F15" s="3" t="n">
        <v>45</v>
      </c>
      <c r="G15" s="2">
        <f>F15*H15</f>
        <v/>
      </c>
      <c r="H15" s="4" t="n">
        <v>27.5</v>
      </c>
      <c r="I15" s="3" t="n">
        <v>45</v>
      </c>
      <c r="J15" s="3">
        <f>SUMIFS('Baixas (Lançamentos)'!$F$2:$F$500,'Baixas (Lançamentos)'!$A$2:$A$500,C15)</f>
        <v/>
      </c>
      <c r="K15" s="3">
        <f>I15-J15</f>
        <v/>
      </c>
      <c r="L15" s="4">
        <f>K15*H15</f>
        <v/>
      </c>
      <c r="M15" s="5">
        <f>IFERROR((F15-K15)/F15,0)</f>
        <v/>
      </c>
    </row>
    <row r="16">
      <c r="A16" s="2" t="inlineStr">
        <is>
          <t>07 - Pintura</t>
        </is>
      </c>
      <c r="B16" s="2" t="n">
        <v>15</v>
      </c>
      <c r="C16" s="3" t="inlineStr">
        <is>
          <t>900015</t>
        </is>
      </c>
      <c r="D16" s="2" t="inlineStr">
        <is>
          <t>ROLINHO DE PINTURA 23 CM</t>
        </is>
      </c>
      <c r="E16" s="2" t="inlineStr">
        <is>
          <t>UNIDADE</t>
        </is>
      </c>
      <c r="F16" s="3" t="n">
        <v>70</v>
      </c>
      <c r="G16" s="2">
        <f>F16*H16</f>
        <v/>
      </c>
      <c r="H16" s="4" t="n">
        <v>11.35</v>
      </c>
      <c r="I16" s="3" t="n">
        <v>70</v>
      </c>
      <c r="J16" s="3">
        <f>SUMIFS('Baixas (Lançamentos)'!$F$2:$F$500,'Baixas (Lançamentos)'!$A$2:$A$500,C16)</f>
        <v/>
      </c>
      <c r="K16" s="3">
        <f>I16-J16</f>
        <v/>
      </c>
      <c r="L16" s="4">
        <f>K16*H16</f>
        <v/>
      </c>
      <c r="M16" s="5">
        <f>IFERROR((F16-K16)/F16,0)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38" customWidth="1" min="4" max="4"/>
    <col width="14" customWidth="1" min="5" max="5"/>
    <col width="12" customWidth="1" min="6" max="6"/>
    <col width="22" customWidth="1" min="7" max="7"/>
    <col width="18" customWidth="1" min="8" max="8"/>
  </cols>
  <sheetData>
    <row r="1">
      <c r="A1" s="6" t="inlineStr">
        <is>
          <t>Código de Barras</t>
        </is>
      </c>
      <c r="B1" s="6" t="inlineStr">
        <is>
          <t>Grupo (auto)</t>
        </is>
      </c>
      <c r="C1" s="6" t="inlineStr">
        <is>
          <t>Nº Item (auto)</t>
        </is>
      </c>
      <c r="D1" s="6" t="inlineStr">
        <is>
          <t>Descrição (auto)</t>
        </is>
      </c>
      <c r="E1" s="6" t="inlineStr">
        <is>
          <t>Data da Baixa</t>
        </is>
      </c>
      <c r="F1" s="6" t="inlineStr">
        <is>
          <t>Qtd. Baixada</t>
        </is>
      </c>
      <c r="G1" s="6" t="inlineStr">
        <is>
          <t>Nº Pedido / NF / OF</t>
        </is>
      </c>
      <c r="H1" s="6" t="inlineStr">
        <is>
          <t>Observação</t>
        </is>
      </c>
    </row>
    <row r="2">
      <c r="A2" s="3" t="inlineStr">
        <is>
          <t>900001</t>
        </is>
      </c>
      <c r="B2" s="2">
        <f>IFERROR(INDEX('Itens do Contrato'!A$2:A$16,MATCH(A2,'Itens do Contrato'!$C$2:$C$16,0)),"")</f>
        <v/>
      </c>
      <c r="C2" s="2">
        <f>IFERROR(INDEX('Itens do Contrato'!B$2:B$16,MATCH(A2,'Itens do Contrato'!$C$2:$C$16,0)),"")</f>
        <v/>
      </c>
      <c r="D2" s="2">
        <f>IFERROR(INDEX('Itens do Contrato'!D$2:D$16,MATCH(A2,'Itens do Contrato'!$C$2:$C$16,0)),"")</f>
        <v/>
      </c>
      <c r="E2" s="2" t="inlineStr">
        <is>
          <t>18/08/2026</t>
        </is>
      </c>
      <c r="F2" s="3" t="n">
        <v>10</v>
      </c>
      <c r="G2" s="2" t="inlineStr">
        <is>
          <t>OF-0001_EXEMPLO</t>
        </is>
      </c>
      <c r="H2" s="2" t="n"/>
    </row>
    <row r="3">
      <c r="A3" s="3" t="inlineStr">
        <is>
          <t>900006</t>
        </is>
      </c>
      <c r="B3" s="2">
        <f>IFERROR(INDEX('Itens do Contrato'!A$2:A$16,MATCH(A3,'Itens do Contrato'!$C$2:$C$16,0)),"")</f>
        <v/>
      </c>
      <c r="C3" s="2">
        <f>IFERROR(INDEX('Itens do Contrato'!B$2:B$16,MATCH(A3,'Itens do Contrato'!$C$2:$C$16,0)),"")</f>
        <v/>
      </c>
      <c r="D3" s="2">
        <f>IFERROR(INDEX('Itens do Contrato'!D$2:D$16,MATCH(A3,'Itens do Contrato'!$C$2:$C$16,0)),"")</f>
        <v/>
      </c>
      <c r="E3" s="2" t="inlineStr">
        <is>
          <t>18/08/2026</t>
        </is>
      </c>
      <c r="F3" s="3" t="n">
        <v>5</v>
      </c>
      <c r="G3" s="2" t="inlineStr">
        <is>
          <t>OF-0001_EXEMPLO</t>
        </is>
      </c>
      <c r="H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1:B3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</cols>
  <sheetData>
    <row r="11">
      <c r="A11" s="7" t="inlineStr">
        <is>
          <t>RELATÓRIO DO CONTRATO Nº 000000 (EXEMPLO FICTÍCIO)</t>
        </is>
      </c>
    </row>
    <row r="12">
      <c r="A12" t="inlineStr">
        <is>
          <t>EMPRESA EXEMPLO LTDA — CNPJ 00.000.000/0000-00</t>
        </is>
      </c>
    </row>
    <row r="14">
      <c r="A14" t="inlineStr">
        <is>
          <t>Vigência</t>
        </is>
      </c>
      <c r="B14" t="inlineStr">
        <is>
          <t>01/01/2026 a 01/01/2027</t>
        </is>
      </c>
    </row>
    <row r="15">
      <c r="A15" t="inlineStr">
        <is>
          <t>Situação do contrato nesta planilha: dados fictícios para demonstração do sistema.</t>
        </is>
      </c>
    </row>
    <row r="17">
      <c r="A17" s="8" t="inlineStr">
        <is>
          <t>INDICADOR</t>
        </is>
      </c>
      <c r="B17" s="8" t="inlineStr">
        <is>
          <t>VALOR</t>
        </is>
      </c>
    </row>
    <row r="18">
      <c r="A18" s="2" t="inlineStr">
        <is>
          <t>Valor total do contrato (R$)</t>
        </is>
      </c>
      <c r="B18" s="2">
        <f>SUM('Itens do Contrato'!G2:G16)</f>
        <v/>
      </c>
    </row>
    <row r="19">
      <c r="A19" s="2" t="inlineStr">
        <is>
          <t>Valor já consumido antes desta planilha (R$)</t>
        </is>
      </c>
      <c r="B19" s="2" t="n">
        <v>0</v>
      </c>
    </row>
    <row r="20">
      <c r="A20" s="2" t="inlineStr">
        <is>
          <t>Valor baixado em novas licitações (R$)</t>
        </is>
      </c>
      <c r="B20" s="2">
        <f>SUMPRODUCT('Itens do Contrato'!J2:J16,'Itens do Contrato'!H2:H16)</f>
        <v/>
      </c>
    </row>
    <row r="21">
      <c r="A21" s="2" t="inlineStr">
        <is>
          <t>Saldo disponível atual (R$)</t>
        </is>
      </c>
      <c r="B21" s="2">
        <f>SUM('Itens do Contrato'!L2:L16)</f>
        <v/>
      </c>
    </row>
    <row r="22">
      <c r="A22" s="2" t="inlineStr">
        <is>
          <t>% do contrato já executado</t>
        </is>
      </c>
      <c r="B22" s="2">
        <f>(B19+B20)/B18</f>
        <v/>
      </c>
    </row>
    <row r="23">
      <c r="A23" s="2" t="inlineStr">
        <is>
          <t>Quantidade de itens controlados</t>
        </is>
      </c>
      <c r="B23" s="2">
        <f>COUNTA('Itens do Contrato'!D2:D16)</f>
        <v/>
      </c>
    </row>
    <row r="25">
      <c r="A25" s="9" t="inlineStr">
        <is>
          <t>COMO USAR ESTA PLANILHA</t>
        </is>
      </c>
    </row>
    <row r="26">
      <c r="A26" t="inlineStr">
        <is>
          <t>1. Os dados desta planilha são 100% fictícios e servem apenas para demonstração do sistema de baixa de OFs.</t>
        </is>
      </c>
    </row>
    <row r="27">
      <c r="A27" t="inlineStr">
        <is>
          <t>2. Cada item tem um Código de Barras, Descrição, Qtd. Contratada e Preço Unitário (R$).</t>
        </is>
      </c>
    </row>
    <row r="28">
      <c r="A28" t="inlineStr">
        <is>
          <t>3. Sempre que uma OF/Nota Fiscal for recebida, registre os lançamentos na aba 'Baixas (Lançamentos)'.</t>
        </is>
      </c>
    </row>
    <row r="29">
      <c r="A29" t="inlineStr">
        <is>
          <t>4. As colunas 'Grupo (auto)', 'Nº Item (auto)' e 'Descrição (auto)' preenchem sozinhas pelo Código de Barras.</t>
        </is>
      </c>
    </row>
    <row r="30">
      <c r="A30" t="inlineStr">
        <is>
          <t>5. A coluna 'Saldo Disponível (Atual)' calcula automaticamente o que ainda resta de cada item.</t>
        </is>
      </c>
    </row>
    <row r="31">
      <c r="A31" t="inlineStr">
        <is>
          <t>6. A coluna '% Executado' mostra o percentual já consumido de cada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2026-08-19T00:47:20Z</dcterms:created>
  <dcterms:modified xsi:type="dcterms:W3CDTF">2026-08-19T00:47:20Z</dcterms:modified>
</cp:coreProperties>
</file>